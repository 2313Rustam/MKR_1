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56D452FD-0354-4BE5-BCAF-26FA0D507AA4}" xr6:coauthVersionLast="43" xr6:coauthVersionMax="43" xr10:uidLastSave="{00000000-0000-0000-0000-000000000000}"/>
  <bookViews>
    <workbookView xWindow="-110" yWindow="-110" windowWidth="38620" windowHeight="21220" xr2:uid="{00000000-000D-0000-FFFF-FFFF00000000}"/>
  </bookViews>
  <sheets>
    <sheet name=" 1 род" sheetId="1" r:id="rId1"/>
    <sheet name=" 2 род" sheetId="2" r:id="rId2"/>
    <sheet name=" 3 род" sheetId="3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11" i="3" l="1"/>
  <c r="H15" i="3" l="1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G15" i="3"/>
  <c r="F14" i="3"/>
  <c r="F15" i="3"/>
  <c r="AJ11" i="3" l="1"/>
  <c r="C3" i="3"/>
  <c r="H14" i="3" l="1"/>
  <c r="I14" i="3"/>
  <c r="J14" i="3"/>
  <c r="P14" i="3"/>
  <c r="V14" i="3"/>
  <c r="AB14" i="3"/>
  <c r="AH14" i="3"/>
  <c r="Q14" i="3"/>
  <c r="W14" i="3"/>
  <c r="AC14" i="3"/>
  <c r="AI14" i="3"/>
  <c r="AE14" i="3"/>
  <c r="N14" i="3"/>
  <c r="AF14" i="3"/>
  <c r="U14" i="3"/>
  <c r="AG14" i="3"/>
  <c r="K14" i="3"/>
  <c r="L14" i="3"/>
  <c r="R14" i="3"/>
  <c r="X14" i="3"/>
  <c r="AD14" i="3"/>
  <c r="S14" i="3"/>
  <c r="Y14" i="3"/>
  <c r="T14" i="3"/>
  <c r="Z14" i="3"/>
  <c r="O14" i="3"/>
  <c r="AA14" i="3"/>
  <c r="M14" i="3"/>
  <c r="C4" i="3"/>
  <c r="G14" i="3"/>
  <c r="G10" i="3"/>
  <c r="H10" i="3" s="1"/>
  <c r="I10" i="3" s="1"/>
  <c r="J10" i="3" s="1"/>
  <c r="K10" i="3" s="1"/>
  <c r="L10" i="3" s="1"/>
  <c r="M10" i="3" s="1"/>
  <c r="N10" i="3" s="1"/>
  <c r="O10" i="3" s="1"/>
  <c r="P10" i="3" s="1"/>
  <c r="Q10" i="3" s="1"/>
  <c r="R10" i="3" s="1"/>
  <c r="S10" i="3" s="1"/>
  <c r="T10" i="3" s="1"/>
  <c r="U10" i="3" s="1"/>
  <c r="V10" i="3" s="1"/>
  <c r="W10" i="3" s="1"/>
  <c r="X10" i="3" s="1"/>
  <c r="Y10" i="3" s="1"/>
  <c r="Z10" i="3" s="1"/>
  <c r="AA10" i="3" s="1"/>
  <c r="AB10" i="3" s="1"/>
  <c r="AC10" i="3" s="1"/>
  <c r="AD10" i="3" s="1"/>
  <c r="AE10" i="3" s="1"/>
  <c r="AF10" i="3" s="1"/>
  <c r="AG10" i="3" s="1"/>
  <c r="AH10" i="3" s="1"/>
  <c r="AI10" i="3" s="1"/>
  <c r="AJ10" i="3" s="1"/>
  <c r="F14" i="2"/>
  <c r="F11" i="2" s="1"/>
  <c r="G14" i="2" s="1"/>
  <c r="AJ11" i="2"/>
  <c r="C3" i="2"/>
  <c r="AJ11" i="1"/>
  <c r="F11" i="1"/>
  <c r="C3" i="1"/>
  <c r="C4" i="1" s="1"/>
  <c r="J13" i="1" l="1"/>
  <c r="P13" i="1"/>
  <c r="V13" i="1"/>
  <c r="AB13" i="1"/>
  <c r="Y13" i="1"/>
  <c r="N13" i="1"/>
  <c r="AF13" i="1"/>
  <c r="K13" i="1"/>
  <c r="Q13" i="1"/>
  <c r="W13" i="1"/>
  <c r="AC13" i="1"/>
  <c r="AI13" i="1"/>
  <c r="L13" i="1"/>
  <c r="R13" i="1"/>
  <c r="X13" i="1"/>
  <c r="AD13" i="1"/>
  <c r="S13" i="1"/>
  <c r="T13" i="1"/>
  <c r="M13" i="1"/>
  <c r="AE13" i="1"/>
  <c r="I13" i="1"/>
  <c r="O13" i="1"/>
  <c r="U13" i="1"/>
  <c r="AA13" i="1"/>
  <c r="AG13" i="1"/>
  <c r="AH13" i="1"/>
  <c r="G13" i="1"/>
  <c r="H13" i="1"/>
  <c r="Z13" i="1"/>
  <c r="G10" i="1"/>
  <c r="H10" i="1" s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AI10" i="1" s="1"/>
  <c r="AJ10" i="1" s="1"/>
  <c r="G10" i="2"/>
  <c r="H10" i="2" s="1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AJ10" i="2" s="1"/>
  <c r="L14" i="2"/>
  <c r="X14" i="2"/>
  <c r="M14" i="2"/>
  <c r="S14" i="2"/>
  <c r="Y14" i="2"/>
  <c r="AE14" i="2"/>
  <c r="H14" i="2"/>
  <c r="N14" i="2"/>
  <c r="T14" i="2"/>
  <c r="Z14" i="2"/>
  <c r="AF14" i="2"/>
  <c r="AI14" i="2"/>
  <c r="AD14" i="2"/>
  <c r="I14" i="2"/>
  <c r="O14" i="2"/>
  <c r="U14" i="2"/>
  <c r="AA14" i="2"/>
  <c r="AG14" i="2"/>
  <c r="J14" i="2"/>
  <c r="P14" i="2"/>
  <c r="V14" i="2"/>
  <c r="AB14" i="2"/>
  <c r="AH14" i="2"/>
  <c r="W14" i="2"/>
  <c r="R14" i="2"/>
  <c r="K14" i="2"/>
  <c r="Q14" i="2"/>
  <c r="AC14" i="2"/>
  <c r="AF13" i="3"/>
  <c r="X13" i="3"/>
  <c r="P13" i="3"/>
  <c r="H13" i="3"/>
  <c r="M13" i="3"/>
  <c r="R13" i="3"/>
  <c r="Q13" i="3"/>
  <c r="AE13" i="3"/>
  <c r="W13" i="3"/>
  <c r="O13" i="3"/>
  <c r="G13" i="3"/>
  <c r="AC13" i="3"/>
  <c r="AD13" i="3"/>
  <c r="V13" i="3"/>
  <c r="N13" i="3"/>
  <c r="U13" i="3"/>
  <c r="Z13" i="3"/>
  <c r="AG13" i="3"/>
  <c r="AB13" i="3"/>
  <c r="T13" i="3"/>
  <c r="L13" i="3"/>
  <c r="J13" i="3"/>
  <c r="I13" i="3"/>
  <c r="AI13" i="3"/>
  <c r="AA13" i="3"/>
  <c r="S13" i="3"/>
  <c r="K13" i="3"/>
  <c r="AH13" i="3"/>
  <c r="Y13" i="3"/>
  <c r="C4" i="2"/>
  <c r="M13" i="2" l="1"/>
  <c r="S13" i="2"/>
  <c r="Y13" i="2"/>
  <c r="AE13" i="2"/>
  <c r="W13" i="2"/>
  <c r="H13" i="2"/>
  <c r="N13" i="2"/>
  <c r="T13" i="2"/>
  <c r="Z13" i="2"/>
  <c r="AF13" i="2"/>
  <c r="O13" i="2"/>
  <c r="U13" i="2"/>
  <c r="AA13" i="2"/>
  <c r="AG13" i="2"/>
  <c r="J13" i="2"/>
  <c r="P13" i="2"/>
  <c r="AB13" i="2"/>
  <c r="AH13" i="2"/>
  <c r="K13" i="2"/>
  <c r="AI13" i="2"/>
  <c r="I13" i="2"/>
  <c r="V13" i="2"/>
  <c r="L13" i="2"/>
  <c r="R13" i="2"/>
  <c r="X13" i="2"/>
  <c r="AD13" i="2"/>
  <c r="Q13" i="2"/>
  <c r="AC13" i="2"/>
  <c r="G13" i="2"/>
</calcChain>
</file>

<file path=xl/sharedStrings.xml><?xml version="1.0" encoding="utf-8"?>
<sst xmlns="http://schemas.openxmlformats.org/spreadsheetml/2006/main" count="41" uniqueCount="15">
  <si>
    <t>L</t>
  </si>
  <si>
    <t>dx</t>
  </si>
  <si>
    <t>dt</t>
  </si>
  <si>
    <t>t</t>
  </si>
  <si>
    <t>Cp</t>
  </si>
  <si>
    <t>ro</t>
  </si>
  <si>
    <t>lambda</t>
  </si>
  <si>
    <t>T_start</t>
  </si>
  <si>
    <t>T_end</t>
  </si>
  <si>
    <t>T</t>
  </si>
  <si>
    <t>T_i</t>
  </si>
  <si>
    <t>q</t>
  </si>
  <si>
    <t>q_start</t>
  </si>
  <si>
    <t>T_gas</t>
  </si>
  <si>
    <t>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</si>
</sst>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0" borderId="0" xfId="0" applyFont="1"/>
    <xf numFmtId="0" fontId="1" fillId="0" borderId="1" xfId="0" applyFont="1" applyBorder="1"/>
    <xf numFmtId="0" fontId="0" fillId="0" borderId="1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 1 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 1 род'!$F$11:$AJ$11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293.29020555946079</c:v>
                </c:pt>
                <c:pt idx="2">
                  <c:v>286.58135356426078</c:v>
                </c:pt>
                <c:pt idx="3">
                  <c:v>279.87250156906083</c:v>
                </c:pt>
                <c:pt idx="4">
                  <c:v>273.16643572049401</c:v>
                </c:pt>
                <c:pt idx="5">
                  <c:v>266.46036987192718</c:v>
                </c:pt>
                <c:pt idx="6">
                  <c:v>259.7588121033076</c:v>
                </c:pt>
                <c:pt idx="7">
                  <c:v>253.05725433468805</c:v>
                </c:pt>
                <c:pt idx="8">
                  <c:v>246.36172955460029</c:v>
                </c:pt>
                <c:pt idx="9">
                  <c:v>239.66620477451255</c:v>
                </c:pt>
                <c:pt idx="10">
                  <c:v>232.9779742209887</c:v>
                </c:pt>
                <c:pt idx="11">
                  <c:v>226.28974366746482</c:v>
                </c:pt>
                <c:pt idx="12">
                  <c:v>219.60974978583039</c:v>
                </c:pt>
                <c:pt idx="13">
                  <c:v>212.92975590419596</c:v>
                </c:pt>
                <c:pt idx="14">
                  <c:v>206.25858115768784</c:v>
                </c:pt>
                <c:pt idx="15">
                  <c:v>199.58740641117976</c:v>
                </c:pt>
                <c:pt idx="16">
                  <c:v>192.92524782450926</c:v>
                </c:pt>
                <c:pt idx="17">
                  <c:v>186.26308923783873</c:v>
                </c:pt>
                <c:pt idx="18">
                  <c:v>179.6097497862678</c:v>
                </c:pt>
                <c:pt idx="19">
                  <c:v>172.95641033469684</c:v>
                </c:pt>
                <c:pt idx="20">
                  <c:v>166.31130755496645</c:v>
                </c:pt>
                <c:pt idx="21">
                  <c:v>159.66620477523603</c:v>
                </c:pt>
                <c:pt idx="22">
                  <c:v>153.02839622200696</c:v>
                </c:pt>
                <c:pt idx="23">
                  <c:v>146.39058766877787</c:v>
                </c:pt>
                <c:pt idx="24">
                  <c:v>139.75881210401525</c:v>
                </c:pt>
                <c:pt idx="25">
                  <c:v>133.12703653925263</c:v>
                </c:pt>
                <c:pt idx="26">
                  <c:v>126.49976905438029</c:v>
                </c:pt>
                <c:pt idx="27">
                  <c:v>119.87250156950796</c:v>
                </c:pt>
                <c:pt idx="28">
                  <c:v>113.24802023123013</c:v>
                </c:pt>
                <c:pt idx="29">
                  <c:v>106.62353889295228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5B-4991-B09E-2EEDF3AA1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917112"/>
        <c:axId val="395915936"/>
      </c:scatterChart>
      <c:valAx>
        <c:axId val="39591711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5915936"/>
        <c:crosses val="autoZero"/>
        <c:crossBetween val="midCat"/>
      </c:valAx>
      <c:valAx>
        <c:axId val="3959159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5917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 1 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 1 род'!$F$11:$AJ$11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293.29020555946079</c:v>
                </c:pt>
                <c:pt idx="2">
                  <c:v>286.58135356426078</c:v>
                </c:pt>
                <c:pt idx="3">
                  <c:v>279.87250156906083</c:v>
                </c:pt>
                <c:pt idx="4">
                  <c:v>273.16643572049401</c:v>
                </c:pt>
                <c:pt idx="5">
                  <c:v>266.46036987192718</c:v>
                </c:pt>
                <c:pt idx="6">
                  <c:v>259.7588121033076</c:v>
                </c:pt>
                <c:pt idx="7">
                  <c:v>253.05725433468805</c:v>
                </c:pt>
                <c:pt idx="8">
                  <c:v>246.36172955460029</c:v>
                </c:pt>
                <c:pt idx="9">
                  <c:v>239.66620477451255</c:v>
                </c:pt>
                <c:pt idx="10">
                  <c:v>232.9779742209887</c:v>
                </c:pt>
                <c:pt idx="11">
                  <c:v>226.28974366746482</c:v>
                </c:pt>
                <c:pt idx="12">
                  <c:v>219.60974978583039</c:v>
                </c:pt>
                <c:pt idx="13">
                  <c:v>212.92975590419596</c:v>
                </c:pt>
                <c:pt idx="14">
                  <c:v>206.25858115768784</c:v>
                </c:pt>
                <c:pt idx="15">
                  <c:v>199.58740641117976</c:v>
                </c:pt>
                <c:pt idx="16">
                  <c:v>192.92524782450926</c:v>
                </c:pt>
                <c:pt idx="17">
                  <c:v>186.26308923783873</c:v>
                </c:pt>
                <c:pt idx="18">
                  <c:v>179.6097497862678</c:v>
                </c:pt>
                <c:pt idx="19">
                  <c:v>172.95641033469684</c:v>
                </c:pt>
                <c:pt idx="20">
                  <c:v>166.31130755496645</c:v>
                </c:pt>
                <c:pt idx="21">
                  <c:v>159.66620477523603</c:v>
                </c:pt>
                <c:pt idx="22">
                  <c:v>153.02839622200696</c:v>
                </c:pt>
                <c:pt idx="23">
                  <c:v>146.39058766877787</c:v>
                </c:pt>
                <c:pt idx="24">
                  <c:v>139.75881210401525</c:v>
                </c:pt>
                <c:pt idx="25">
                  <c:v>133.12703653925263</c:v>
                </c:pt>
                <c:pt idx="26">
                  <c:v>126.49976905438029</c:v>
                </c:pt>
                <c:pt idx="27">
                  <c:v>119.87250156950796</c:v>
                </c:pt>
                <c:pt idx="28">
                  <c:v>113.24802023123013</c:v>
                </c:pt>
                <c:pt idx="29">
                  <c:v>106.62353889295228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5A-4F4F-B36A-C52F805CC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918288"/>
        <c:axId val="395917896"/>
      </c:scatterChart>
      <c:valAx>
        <c:axId val="39591828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5917896"/>
        <c:crosses val="autoZero"/>
        <c:crossBetween val="midCat"/>
      </c:valAx>
      <c:valAx>
        <c:axId val="3959178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5918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 1 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 1 род'!$F$11:$AJ$11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293.29020555946079</c:v>
                </c:pt>
                <c:pt idx="2">
                  <c:v>286.58135356426078</c:v>
                </c:pt>
                <c:pt idx="3">
                  <c:v>279.87250156906083</c:v>
                </c:pt>
                <c:pt idx="4">
                  <c:v>273.16643572049401</c:v>
                </c:pt>
                <c:pt idx="5">
                  <c:v>266.46036987192718</c:v>
                </c:pt>
                <c:pt idx="6">
                  <c:v>259.7588121033076</c:v>
                </c:pt>
                <c:pt idx="7">
                  <c:v>253.05725433468805</c:v>
                </c:pt>
                <c:pt idx="8">
                  <c:v>246.36172955460029</c:v>
                </c:pt>
                <c:pt idx="9">
                  <c:v>239.66620477451255</c:v>
                </c:pt>
                <c:pt idx="10">
                  <c:v>232.9779742209887</c:v>
                </c:pt>
                <c:pt idx="11">
                  <c:v>226.28974366746482</c:v>
                </c:pt>
                <c:pt idx="12">
                  <c:v>219.60974978583039</c:v>
                </c:pt>
                <c:pt idx="13">
                  <c:v>212.92975590419596</c:v>
                </c:pt>
                <c:pt idx="14">
                  <c:v>206.25858115768784</c:v>
                </c:pt>
                <c:pt idx="15">
                  <c:v>199.58740641117976</c:v>
                </c:pt>
                <c:pt idx="16">
                  <c:v>192.92524782450926</c:v>
                </c:pt>
                <c:pt idx="17">
                  <c:v>186.26308923783873</c:v>
                </c:pt>
                <c:pt idx="18">
                  <c:v>179.6097497862678</c:v>
                </c:pt>
                <c:pt idx="19">
                  <c:v>172.95641033469684</c:v>
                </c:pt>
                <c:pt idx="20">
                  <c:v>166.31130755496645</c:v>
                </c:pt>
                <c:pt idx="21">
                  <c:v>159.66620477523603</c:v>
                </c:pt>
                <c:pt idx="22">
                  <c:v>153.02839622200696</c:v>
                </c:pt>
                <c:pt idx="23">
                  <c:v>146.39058766877787</c:v>
                </c:pt>
                <c:pt idx="24">
                  <c:v>139.75881210401525</c:v>
                </c:pt>
                <c:pt idx="25">
                  <c:v>133.12703653925263</c:v>
                </c:pt>
                <c:pt idx="26">
                  <c:v>126.49976905438029</c:v>
                </c:pt>
                <c:pt idx="27">
                  <c:v>119.87250156950796</c:v>
                </c:pt>
                <c:pt idx="28">
                  <c:v>113.24802023123013</c:v>
                </c:pt>
                <c:pt idx="29">
                  <c:v>106.62353889295228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22-4F7C-855E-E0C8FACBF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916328"/>
        <c:axId val="395916720"/>
      </c:scatterChart>
      <c:valAx>
        <c:axId val="39591632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5916720"/>
        <c:crosses val="autoZero"/>
        <c:crossBetween val="midCat"/>
      </c:valAx>
      <c:valAx>
        <c:axId val="3959167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5916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27213</xdr:colOff>
      <xdr:row>18</xdr:row>
      <xdr:rowOff>81643</xdr:rowOff>
    </xdr:from>
    <xdr:to>
      <xdr:col>20</xdr:col>
      <xdr:colOff>557891</xdr:colOff>
      <xdr:row>39</xdr:row>
      <xdr:rowOff>190498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526617</xdr:colOff>
      <xdr:row>20</xdr:row>
      <xdr:rowOff>27216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6649831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649831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19</xdr:col>
      <xdr:colOff>284410</xdr:colOff>
      <xdr:row>38</xdr:row>
      <xdr:rowOff>111580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1918517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1918517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27213</xdr:colOff>
      <xdr:row>18</xdr:row>
      <xdr:rowOff>81643</xdr:rowOff>
    </xdr:from>
    <xdr:to>
      <xdr:col>20</xdr:col>
      <xdr:colOff>557891</xdr:colOff>
      <xdr:row>39</xdr:row>
      <xdr:rowOff>190498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526617</xdr:colOff>
      <xdr:row>20</xdr:row>
      <xdr:rowOff>27216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6622617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622617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19</xdr:col>
      <xdr:colOff>284410</xdr:colOff>
      <xdr:row>38</xdr:row>
      <xdr:rowOff>111580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1866810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1866810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27213</xdr:colOff>
      <xdr:row>18</xdr:row>
      <xdr:rowOff>81643</xdr:rowOff>
    </xdr:from>
    <xdr:to>
      <xdr:col>20</xdr:col>
      <xdr:colOff>557891</xdr:colOff>
      <xdr:row>39</xdr:row>
      <xdr:rowOff>190498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526617</xdr:colOff>
      <xdr:row>20</xdr:row>
      <xdr:rowOff>27216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6822642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822642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19</xdr:col>
      <xdr:colOff>284410</xdr:colOff>
      <xdr:row>38</xdr:row>
      <xdr:rowOff>111580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12066835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2066835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2:AN13"/>
  <sheetViews>
    <sheetView tabSelected="1" zoomScaleNormal="100" workbookViewId="0">
      <selection activeCell="G11" sqref="G11:AI11"/>
    </sheetView>
  </sheetViews>
  <sheetFormatPr defaultRowHeight="14.5" x14ac:dyDescent="0.35"/>
  <sheetData>
    <row r="2" spans="2:40" x14ac:dyDescent="0.35">
      <c r="B2" s="1" t="s">
        <v>0</v>
      </c>
      <c r="C2" s="1">
        <v>0.1</v>
      </c>
    </row>
    <row r="3" spans="2:40" x14ac:dyDescent="0.35">
      <c r="B3" s="1" t="s">
        <v>1</v>
      </c>
      <c r="C3" s="1">
        <f>C2/30</f>
        <v>3.3333333333333335E-3</v>
      </c>
    </row>
    <row r="4" spans="2:40" x14ac:dyDescent="0.35">
      <c r="B4" s="1" t="s">
        <v>2</v>
      </c>
      <c r="C4" s="1">
        <f>(C7*C8*C3^2)/(2*C9)</f>
        <v>0.4333333333333334</v>
      </c>
    </row>
    <row r="5" spans="2:40" x14ac:dyDescent="0.35">
      <c r="B5" s="1" t="s">
        <v>3</v>
      </c>
      <c r="C5" s="1">
        <v>200</v>
      </c>
      <c r="D5">
        <v>200.43333333333334</v>
      </c>
      <c r="AN5">
        <v>500.43333333333334</v>
      </c>
    </row>
    <row r="7" spans="2:40" x14ac:dyDescent="0.35">
      <c r="B7" s="1" t="s">
        <v>4</v>
      </c>
      <c r="C7" s="1">
        <v>460</v>
      </c>
    </row>
    <row r="8" spans="2:40" x14ac:dyDescent="0.35">
      <c r="B8" s="1" t="s">
        <v>5</v>
      </c>
      <c r="C8" s="1">
        <v>7800</v>
      </c>
    </row>
    <row r="9" spans="2:40" x14ac:dyDescent="0.3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40" x14ac:dyDescent="0.3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40" x14ac:dyDescent="0.35">
      <c r="B11" s="1" t="s">
        <v>7</v>
      </c>
      <c r="C11" s="1">
        <v>300</v>
      </c>
      <c r="E11" t="s">
        <v>9</v>
      </c>
      <c r="F11">
        <f>C11</f>
        <v>300</v>
      </c>
      <c r="G11">
        <v>293.29020555946079</v>
      </c>
      <c r="H11">
        <v>286.58135356426078</v>
      </c>
      <c r="I11">
        <v>279.87250156906083</v>
      </c>
      <c r="J11">
        <v>273.16643572049401</v>
      </c>
      <c r="K11">
        <v>266.46036987192718</v>
      </c>
      <c r="L11">
        <v>259.7588121033076</v>
      </c>
      <c r="M11">
        <v>253.05725433468805</v>
      </c>
      <c r="N11">
        <v>246.36172955460029</v>
      </c>
      <c r="O11">
        <v>239.66620477451255</v>
      </c>
      <c r="P11">
        <v>232.9779742209887</v>
      </c>
      <c r="Q11">
        <v>226.28974366746482</v>
      </c>
      <c r="R11">
        <v>219.60974978583039</v>
      </c>
      <c r="S11">
        <v>212.92975590419596</v>
      </c>
      <c r="T11">
        <v>206.25858115768784</v>
      </c>
      <c r="U11">
        <v>199.58740641117976</v>
      </c>
      <c r="V11">
        <v>192.92524782450926</v>
      </c>
      <c r="W11">
        <v>186.26308923783873</v>
      </c>
      <c r="X11">
        <v>179.6097497862678</v>
      </c>
      <c r="Y11">
        <v>172.95641033469684</v>
      </c>
      <c r="Z11">
        <v>166.31130755496645</v>
      </c>
      <c r="AA11">
        <v>159.66620477523603</v>
      </c>
      <c r="AB11">
        <v>153.02839622200696</v>
      </c>
      <c r="AC11">
        <v>146.39058766877787</v>
      </c>
      <c r="AD11">
        <v>139.75881210401525</v>
      </c>
      <c r="AE11">
        <v>133.12703653925263</v>
      </c>
      <c r="AF11">
        <v>126.49976905438029</v>
      </c>
      <c r="AG11">
        <v>119.87250156950796</v>
      </c>
      <c r="AH11">
        <v>113.24802023123013</v>
      </c>
      <c r="AI11">
        <v>106.62353889295228</v>
      </c>
      <c r="AJ11">
        <f>C12</f>
        <v>100</v>
      </c>
    </row>
    <row r="12" spans="2:40" x14ac:dyDescent="0.35">
      <c r="B12" s="1" t="s">
        <v>8</v>
      </c>
      <c r="C12" s="1">
        <v>100</v>
      </c>
    </row>
    <row r="13" spans="2:40" x14ac:dyDescent="0.35">
      <c r="E13" t="s">
        <v>10</v>
      </c>
      <c r="G13">
        <f>G11+(($C$9*$C$4)/($C$8*$C$7))*((H11-2*G11+F11)/($C$3^2))</f>
        <v>293.29067678213039</v>
      </c>
      <c r="H13">
        <f t="shared" ref="H13:AI13" si="1">H11+(($C$9*$C$4)/($C$8*$C$7))*((I11-2*H11+G11)/($C$3^2))</f>
        <v>286.58135356426078</v>
      </c>
      <c r="I13">
        <f t="shared" si="1"/>
        <v>279.87389464237742</v>
      </c>
      <c r="J13">
        <f t="shared" si="1"/>
        <v>273.16643572049401</v>
      </c>
      <c r="K13">
        <f t="shared" si="1"/>
        <v>266.46262391190078</v>
      </c>
      <c r="L13">
        <f t="shared" si="1"/>
        <v>259.7588121033076</v>
      </c>
      <c r="M13">
        <f t="shared" si="1"/>
        <v>253.06027082895395</v>
      </c>
      <c r="N13">
        <f t="shared" si="1"/>
        <v>246.36172955460029</v>
      </c>
      <c r="O13">
        <f t="shared" si="1"/>
        <v>239.66985188779449</v>
      </c>
      <c r="P13">
        <f t="shared" si="1"/>
        <v>232.9779742209887</v>
      </c>
      <c r="Q13">
        <f t="shared" si="1"/>
        <v>226.29386200340954</v>
      </c>
      <c r="R13">
        <f t="shared" si="1"/>
        <v>219.60974978583039</v>
      </c>
      <c r="S13">
        <f t="shared" si="1"/>
        <v>212.93416547175912</v>
      </c>
      <c r="T13">
        <f t="shared" si="1"/>
        <v>206.25858115768784</v>
      </c>
      <c r="U13">
        <f t="shared" si="1"/>
        <v>199.59191449109855</v>
      </c>
      <c r="V13">
        <f t="shared" si="1"/>
        <v>192.92524782450926</v>
      </c>
      <c r="W13">
        <f t="shared" si="1"/>
        <v>186.26749880538853</v>
      </c>
      <c r="X13">
        <f t="shared" si="1"/>
        <v>179.6097497862678</v>
      </c>
      <c r="Y13">
        <f t="shared" si="1"/>
        <v>172.96052867061712</v>
      </c>
      <c r="Z13">
        <f t="shared" si="1"/>
        <v>166.31130755496645</v>
      </c>
      <c r="AA13">
        <f t="shared" si="1"/>
        <v>159.6698518884867</v>
      </c>
      <c r="AB13">
        <f t="shared" si="1"/>
        <v>153.02839622200696</v>
      </c>
      <c r="AC13">
        <f t="shared" si="1"/>
        <v>146.3936041630111</v>
      </c>
      <c r="AD13">
        <f t="shared" si="1"/>
        <v>139.75881210401525</v>
      </c>
      <c r="AE13">
        <f t="shared" si="1"/>
        <v>133.12929057919777</v>
      </c>
      <c r="AF13">
        <f t="shared" si="1"/>
        <v>126.49976905438029</v>
      </c>
      <c r="AG13">
        <f t="shared" si="1"/>
        <v>119.87389464280521</v>
      </c>
      <c r="AH13">
        <f t="shared" si="1"/>
        <v>113.24802023123013</v>
      </c>
      <c r="AI13">
        <f t="shared" si="1"/>
        <v>106.62401011561506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pageSetup paperSize="270" orientation="landscape" horizontalDpi="30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2:AN14"/>
  <sheetViews>
    <sheetView zoomScaleNormal="100" workbookViewId="0">
      <selection activeCell="J29" sqref="J28:J29"/>
    </sheetView>
  </sheetViews>
  <sheetFormatPr defaultRowHeight="14.5" x14ac:dyDescent="0.35"/>
  <cols>
    <col min="7" max="7" width="12.1796875" bestFit="1" customWidth="1"/>
  </cols>
  <sheetData>
    <row r="2" spans="2:40" x14ac:dyDescent="0.35">
      <c r="B2" s="1" t="s">
        <v>0</v>
      </c>
      <c r="C2" s="1">
        <v>0.1</v>
      </c>
    </row>
    <row r="3" spans="2:40" x14ac:dyDescent="0.35">
      <c r="B3" s="1" t="s">
        <v>1</v>
      </c>
      <c r="C3" s="1">
        <f>C2/30</f>
        <v>3.3333333333333335E-3</v>
      </c>
    </row>
    <row r="4" spans="2:40" x14ac:dyDescent="0.35">
      <c r="B4" s="1" t="s">
        <v>2</v>
      </c>
      <c r="C4" s="1">
        <f>(C7*C8*C3^2)/(2*C9)</f>
        <v>0.4333333333333334</v>
      </c>
    </row>
    <row r="5" spans="2:40" x14ac:dyDescent="0.35">
      <c r="B5" s="1" t="s">
        <v>3</v>
      </c>
      <c r="C5" s="1">
        <v>5500</v>
      </c>
      <c r="D5">
        <v>5500.4333333333334</v>
      </c>
      <c r="AN5">
        <v>500.43333333333334</v>
      </c>
    </row>
    <row r="7" spans="2:40" x14ac:dyDescent="0.35">
      <c r="B7" s="1" t="s">
        <v>4</v>
      </c>
      <c r="C7" s="1">
        <v>460</v>
      </c>
    </row>
    <row r="8" spans="2:40" x14ac:dyDescent="0.35">
      <c r="B8" s="1" t="s">
        <v>5</v>
      </c>
      <c r="C8" s="1">
        <v>7800</v>
      </c>
    </row>
    <row r="9" spans="2:40" x14ac:dyDescent="0.3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40" x14ac:dyDescent="0.3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40" x14ac:dyDescent="0.35">
      <c r="B11" s="1" t="s">
        <v>12</v>
      </c>
      <c r="C11" s="1">
        <v>92000</v>
      </c>
      <c r="E11" t="s">
        <v>9</v>
      </c>
      <c r="F11">
        <f>(F14/C9)*C3+G11</f>
        <v>299.99999991875285</v>
      </c>
      <c r="G11">
        <v>293.33333325208616</v>
      </c>
      <c r="H11">
        <v>286.66666658564981</v>
      </c>
      <c r="I11">
        <v>279.9999999194431</v>
      </c>
      <c r="J11">
        <v>273.33333325346473</v>
      </c>
      <c r="K11">
        <v>266.66666658771271</v>
      </c>
      <c r="L11">
        <v>259.99999992218454</v>
      </c>
      <c r="M11">
        <v>253.33333325687695</v>
      </c>
      <c r="N11">
        <v>246.66666659178611</v>
      </c>
      <c r="O11">
        <v>239.99999992690744</v>
      </c>
      <c r="P11">
        <v>233.33333326223607</v>
      </c>
      <c r="Q11">
        <v>226.66666659776612</v>
      </c>
      <c r="R11">
        <v>219.99999993349158</v>
      </c>
      <c r="S11">
        <v>213.3333332694055</v>
      </c>
      <c r="T11">
        <v>206.66666660550067</v>
      </c>
      <c r="U11">
        <v>199.9999999417692</v>
      </c>
      <c r="V11">
        <v>193.33333327820282</v>
      </c>
      <c r="W11">
        <v>186.66666661479266</v>
      </c>
      <c r="X11">
        <v>179.99999995152962</v>
      </c>
      <c r="Y11">
        <v>173.33333328840388</v>
      </c>
      <c r="Z11">
        <v>166.66666662540558</v>
      </c>
      <c r="AA11">
        <v>159.99999996252421</v>
      </c>
      <c r="AB11">
        <v>153.33333329974906</v>
      </c>
      <c r="AC11">
        <v>146.66666663706911</v>
      </c>
      <c r="AD11">
        <v>139.99999997447307</v>
      </c>
      <c r="AE11">
        <v>133.33333331194939</v>
      </c>
      <c r="AF11">
        <v>126.6666666494863</v>
      </c>
      <c r="AG11">
        <v>119.99999998707196</v>
      </c>
      <c r="AH11">
        <v>113.33333332469419</v>
      </c>
      <c r="AI11">
        <v>106.66666666234099</v>
      </c>
      <c r="AJ11">
        <f>C12</f>
        <v>100</v>
      </c>
    </row>
    <row r="12" spans="2:40" x14ac:dyDescent="0.35">
      <c r="B12" s="1" t="s">
        <v>8</v>
      </c>
      <c r="C12" s="1">
        <v>100</v>
      </c>
    </row>
    <row r="13" spans="2:40" x14ac:dyDescent="0.35">
      <c r="E13" t="s">
        <v>10</v>
      </c>
      <c r="G13">
        <f>G11+(($C$9*$C$4)/($C$8*$C$7))*((H11-2*G11+F11)/($C$3^2))</f>
        <v>293.33333325220133</v>
      </c>
      <c r="H13">
        <f t="shared" ref="H13:AI13" si="1">H11+(($C$9*$C$4)/($C$8*$C$7))*((I11-2*H11+G11)/($C$3^2))</f>
        <v>286.66666658576463</v>
      </c>
      <c r="I13">
        <f t="shared" si="1"/>
        <v>279.99999991955724</v>
      </c>
      <c r="J13">
        <f t="shared" si="1"/>
        <v>273.3333332535779</v>
      </c>
      <c r="K13">
        <f t="shared" si="1"/>
        <v>266.66666658782464</v>
      </c>
      <c r="L13">
        <f t="shared" si="1"/>
        <v>259.99999992229482</v>
      </c>
      <c r="M13">
        <f t="shared" si="1"/>
        <v>253.33333325698533</v>
      </c>
      <c r="N13">
        <f t="shared" si="1"/>
        <v>246.66666659189218</v>
      </c>
      <c r="O13">
        <f t="shared" si="1"/>
        <v>239.99999992701109</v>
      </c>
      <c r="P13">
        <f t="shared" si="1"/>
        <v>233.33333326233679</v>
      </c>
      <c r="Q13">
        <f t="shared" si="1"/>
        <v>226.66666659786381</v>
      </c>
      <c r="R13">
        <f t="shared" si="1"/>
        <v>219.9999999335858</v>
      </c>
      <c r="S13">
        <f t="shared" si="1"/>
        <v>213.33333326949611</v>
      </c>
      <c r="T13">
        <f t="shared" si="1"/>
        <v>206.66666660558735</v>
      </c>
      <c r="U13">
        <f t="shared" si="1"/>
        <v>199.99999994185174</v>
      </c>
      <c r="V13">
        <f t="shared" si="1"/>
        <v>193.33333327828092</v>
      </c>
      <c r="W13">
        <f t="shared" si="1"/>
        <v>186.66666661486622</v>
      </c>
      <c r="X13">
        <f t="shared" si="1"/>
        <v>179.99999995159828</v>
      </c>
      <c r="Y13">
        <f t="shared" si="1"/>
        <v>173.3333332884676</v>
      </c>
      <c r="Z13">
        <f t="shared" si="1"/>
        <v>166.66666662546405</v>
      </c>
      <c r="AA13">
        <f t="shared" si="1"/>
        <v>159.99999996257731</v>
      </c>
      <c r="AB13">
        <f t="shared" si="1"/>
        <v>153.33333329979666</v>
      </c>
      <c r="AC13">
        <f t="shared" si="1"/>
        <v>146.66666663711106</v>
      </c>
      <c r="AD13">
        <f t="shared" si="1"/>
        <v>139.99999997450925</v>
      </c>
      <c r="AE13">
        <f t="shared" si="1"/>
        <v>133.33333331197969</v>
      </c>
      <c r="AF13">
        <f t="shared" si="1"/>
        <v>126.66666664951067</v>
      </c>
      <c r="AG13">
        <f t="shared" si="1"/>
        <v>119.99999998709025</v>
      </c>
      <c r="AH13">
        <f t="shared" si="1"/>
        <v>113.33333332470647</v>
      </c>
      <c r="AI13">
        <f t="shared" si="1"/>
        <v>106.6666666623471</v>
      </c>
    </row>
    <row r="14" spans="2:40" x14ac:dyDescent="0.35">
      <c r="E14" t="s">
        <v>11</v>
      </c>
      <c r="F14">
        <f>C11</f>
        <v>92000</v>
      </c>
      <c r="G14">
        <f>-$C$9*((G11-F11)/$C$3)</f>
        <v>92000.000000000247</v>
      </c>
      <c r="H14">
        <f t="shared" ref="H14:AI14" si="2">-$C$9*((H11-G11)/$C$3)</f>
        <v>91999.999996821702</v>
      </c>
      <c r="I14">
        <f t="shared" si="2"/>
        <v>91999.999993652571</v>
      </c>
      <c r="J14">
        <f t="shared" si="2"/>
        <v>91999.99999050147</v>
      </c>
      <c r="K14">
        <f t="shared" si="2"/>
        <v>91999.999987377843</v>
      </c>
      <c r="L14">
        <f t="shared" si="2"/>
        <v>91999.999984288719</v>
      </c>
      <c r="M14">
        <f t="shared" si="2"/>
        <v>91999.999981244706</v>
      </c>
      <c r="N14">
        <f t="shared" si="2"/>
        <v>91999.999978253647</v>
      </c>
      <c r="O14">
        <f t="shared" si="2"/>
        <v>91999.999975325714</v>
      </c>
      <c r="P14">
        <f t="shared" si="2"/>
        <v>91999.999972464866</v>
      </c>
      <c r="Q14">
        <f t="shared" si="2"/>
        <v>91999.999969685217</v>
      </c>
      <c r="R14">
        <f t="shared" si="2"/>
        <v>91999.999966988704</v>
      </c>
      <c r="S14">
        <f t="shared" si="2"/>
        <v>91999.999964387898</v>
      </c>
      <c r="T14">
        <f t="shared" si="2"/>
        <v>91999.9999618867</v>
      </c>
      <c r="U14">
        <f t="shared" si="2"/>
        <v>91999.999959494162</v>
      </c>
      <c r="V14">
        <f t="shared" si="2"/>
        <v>91999.999957216147</v>
      </c>
      <c r="W14">
        <f t="shared" si="2"/>
        <v>91999.999955060135</v>
      </c>
      <c r="X14">
        <f t="shared" si="2"/>
        <v>91999.999953029997</v>
      </c>
      <c r="Y14">
        <f t="shared" si="2"/>
        <v>91999.999951135178</v>
      </c>
      <c r="Z14">
        <f t="shared" si="2"/>
        <v>91999.999949376463</v>
      </c>
      <c r="AA14">
        <f t="shared" si="2"/>
        <v>91999.999947762873</v>
      </c>
      <c r="AB14">
        <f t="shared" si="2"/>
        <v>91999.999946297161</v>
      </c>
      <c r="AC14">
        <f t="shared" si="2"/>
        <v>91999.999944983225</v>
      </c>
      <c r="AD14">
        <f t="shared" si="2"/>
        <v>91999.999943825387</v>
      </c>
      <c r="AE14">
        <f t="shared" si="2"/>
        <v>91999.999942826806</v>
      </c>
      <c r="AF14">
        <f t="shared" si="2"/>
        <v>91999.99994199058</v>
      </c>
      <c r="AG14">
        <f t="shared" si="2"/>
        <v>91999.999941317918</v>
      </c>
      <c r="AH14">
        <f t="shared" si="2"/>
        <v>91999.999940813141</v>
      </c>
      <c r="AI14">
        <f t="shared" si="2"/>
        <v>91999.99994047427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2:AN15"/>
  <sheetViews>
    <sheetView zoomScaleNormal="100" workbookViewId="0">
      <selection activeCell="G11" sqref="G11:AI11"/>
    </sheetView>
  </sheetViews>
  <sheetFormatPr defaultRowHeight="14.5" x14ac:dyDescent="0.35"/>
  <cols>
    <col min="6" max="6" width="10.26953125" bestFit="1" customWidth="1"/>
    <col min="7" max="7" width="12.1796875" bestFit="1" customWidth="1"/>
  </cols>
  <sheetData>
    <row r="2" spans="2:40" x14ac:dyDescent="0.35">
      <c r="B2" s="1" t="s">
        <v>0</v>
      </c>
      <c r="C2" s="1">
        <v>0.1</v>
      </c>
    </row>
    <row r="3" spans="2:40" x14ac:dyDescent="0.35">
      <c r="B3" s="1" t="s">
        <v>1</v>
      </c>
      <c r="C3" s="1">
        <f>C2/30</f>
        <v>3.3333333333333335E-3</v>
      </c>
    </row>
    <row r="4" spans="2:40" x14ac:dyDescent="0.35">
      <c r="B4" s="1" t="s">
        <v>2</v>
      </c>
      <c r="C4" s="1">
        <f>(C7*C8*C3^2)/(2*C9)</f>
        <v>0.4333333333333334</v>
      </c>
    </row>
    <row r="5" spans="2:40" x14ac:dyDescent="0.35">
      <c r="B5" s="1" t="s">
        <v>3</v>
      </c>
      <c r="C5" s="1">
        <v>1000</v>
      </c>
      <c r="D5">
        <v>1000.4333333333333</v>
      </c>
      <c r="AN5">
        <v>500.43333333333334</v>
      </c>
    </row>
    <row r="7" spans="2:40" x14ac:dyDescent="0.35">
      <c r="B7" s="1" t="s">
        <v>4</v>
      </c>
      <c r="C7" s="1">
        <v>460</v>
      </c>
    </row>
    <row r="8" spans="2:40" x14ac:dyDescent="0.35">
      <c r="B8" s="1" t="s">
        <v>5</v>
      </c>
      <c r="C8" s="1">
        <v>7800</v>
      </c>
    </row>
    <row r="9" spans="2:40" x14ac:dyDescent="0.3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40" x14ac:dyDescent="0.3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40" x14ac:dyDescent="0.35">
      <c r="B11" s="1" t="s">
        <v>13</v>
      </c>
      <c r="C11" s="1">
        <v>300</v>
      </c>
      <c r="E11" t="s">
        <v>9</v>
      </c>
      <c r="F11">
        <f>C11</f>
        <v>300</v>
      </c>
      <c r="G11">
        <v>293.33333333333297</v>
      </c>
      <c r="H11">
        <v>286.66666666666595</v>
      </c>
      <c r="I11">
        <v>279.99999999999898</v>
      </c>
      <c r="J11">
        <v>273.33333333333206</v>
      </c>
      <c r="K11">
        <v>266.66666666666515</v>
      </c>
      <c r="L11">
        <v>259.99999999999829</v>
      </c>
      <c r="M11">
        <v>253.3333333333315</v>
      </c>
      <c r="N11">
        <v>246.66666666666472</v>
      </c>
      <c r="O11">
        <v>239.99999999999795</v>
      </c>
      <c r="P11">
        <v>233.33333333333121</v>
      </c>
      <c r="Q11">
        <v>226.6666666666645</v>
      </c>
      <c r="R11">
        <v>219.99999999999778</v>
      </c>
      <c r="S11">
        <v>213.3333333333311</v>
      </c>
      <c r="T11">
        <v>206.66666666666444</v>
      </c>
      <c r="U11">
        <v>199.99999999999778</v>
      </c>
      <c r="V11">
        <v>193.33333333333115</v>
      </c>
      <c r="W11">
        <v>186.66666666666453</v>
      </c>
      <c r="X11">
        <v>179.99999999999793</v>
      </c>
      <c r="Y11">
        <v>173.33333333333132</v>
      </c>
      <c r="Z11">
        <v>166.66666666666475</v>
      </c>
      <c r="AA11">
        <v>159.99999999999821</v>
      </c>
      <c r="AB11">
        <v>153.33333333333167</v>
      </c>
      <c r="AC11">
        <v>146.66666666666515</v>
      </c>
      <c r="AD11">
        <v>139.99999999999866</v>
      </c>
      <c r="AE11">
        <v>133.33333333333218</v>
      </c>
      <c r="AF11">
        <v>126.66666666666573</v>
      </c>
      <c r="AG11">
        <v>119.99999999999929</v>
      </c>
      <c r="AH11">
        <v>113.33333333333286</v>
      </c>
      <c r="AI11">
        <v>106.66666666666643</v>
      </c>
      <c r="AJ11">
        <f>C12</f>
        <v>100</v>
      </c>
    </row>
    <row r="12" spans="2:40" x14ac:dyDescent="0.35">
      <c r="B12" s="1" t="s">
        <v>8</v>
      </c>
      <c r="C12" s="1">
        <v>100</v>
      </c>
    </row>
    <row r="13" spans="2:40" x14ac:dyDescent="0.35">
      <c r="E13" t="s">
        <v>10</v>
      </c>
      <c r="G13">
        <f>G11+(($C$9*$C$4)/($C$8*$C$7))*((H11-2*G11+F11)/($C$3^2))</f>
        <v>293.33333333333297</v>
      </c>
      <c r="H13">
        <f t="shared" ref="H13:AI13" si="1">H11+(($C$9*$C$4)/($C$8*$C$7))*((I11-2*H11+G11)/($C$3^2))</f>
        <v>286.66666666666595</v>
      </c>
      <c r="I13">
        <f t="shared" si="1"/>
        <v>279.99999999999898</v>
      </c>
      <c r="J13">
        <f t="shared" si="1"/>
        <v>273.33333333333206</v>
      </c>
      <c r="K13">
        <f t="shared" si="1"/>
        <v>266.66666666666515</v>
      </c>
      <c r="L13">
        <f t="shared" si="1"/>
        <v>259.99999999999829</v>
      </c>
      <c r="M13">
        <f t="shared" si="1"/>
        <v>253.3333333333315</v>
      </c>
      <c r="N13">
        <f t="shared" si="1"/>
        <v>246.66666666666472</v>
      </c>
      <c r="O13">
        <f t="shared" si="1"/>
        <v>239.99999999999795</v>
      </c>
      <c r="P13">
        <f t="shared" si="1"/>
        <v>233.33333333333121</v>
      </c>
      <c r="Q13">
        <f t="shared" si="1"/>
        <v>226.6666666666645</v>
      </c>
      <c r="R13">
        <f t="shared" si="1"/>
        <v>219.99999999999778</v>
      </c>
      <c r="S13">
        <f t="shared" si="1"/>
        <v>213.3333333333311</v>
      </c>
      <c r="T13">
        <f t="shared" si="1"/>
        <v>206.66666666666444</v>
      </c>
      <c r="U13">
        <f t="shared" si="1"/>
        <v>199.99999999999778</v>
      </c>
      <c r="V13">
        <f t="shared" si="1"/>
        <v>193.33333333333115</v>
      </c>
      <c r="W13">
        <f t="shared" si="1"/>
        <v>186.66666666666453</v>
      </c>
      <c r="X13">
        <f t="shared" si="1"/>
        <v>179.99999999999793</v>
      </c>
      <c r="Y13">
        <f t="shared" si="1"/>
        <v>173.33333333333132</v>
      </c>
      <c r="Z13">
        <f t="shared" si="1"/>
        <v>166.66666666666475</v>
      </c>
      <c r="AA13">
        <f t="shared" si="1"/>
        <v>159.99999999999821</v>
      </c>
      <c r="AB13">
        <f t="shared" si="1"/>
        <v>153.33333333333167</v>
      </c>
      <c r="AC13">
        <f t="shared" si="1"/>
        <v>146.66666666666515</v>
      </c>
      <c r="AD13">
        <f t="shared" si="1"/>
        <v>139.99999999999866</v>
      </c>
      <c r="AE13">
        <f t="shared" si="1"/>
        <v>133.33333333333218</v>
      </c>
      <c r="AF13">
        <f t="shared" si="1"/>
        <v>126.66666666666573</v>
      </c>
      <c r="AG13">
        <f t="shared" si="1"/>
        <v>119.99999999999929</v>
      </c>
      <c r="AH13">
        <f t="shared" si="1"/>
        <v>113.33333333333286</v>
      </c>
      <c r="AI13">
        <f t="shared" si="1"/>
        <v>106.66666666666643</v>
      </c>
    </row>
    <row r="14" spans="2:40" x14ac:dyDescent="0.35">
      <c r="B14" s="3" t="s">
        <v>14</v>
      </c>
      <c r="C14" s="1">
        <v>13800</v>
      </c>
      <c r="E14" t="s">
        <v>11</v>
      </c>
      <c r="F14">
        <f>C15</f>
        <v>92000</v>
      </c>
      <c r="G14">
        <f>-$C$9*((G11-F11)/$C$3)</f>
        <v>92000.000000004962</v>
      </c>
      <c r="H14">
        <f t="shared" ref="H14:AI14" si="2">-$C$9*((H11-G11)/$C$3)</f>
        <v>92000.000000004962</v>
      </c>
      <c r="I14">
        <f t="shared" si="2"/>
        <v>92000.000000004176</v>
      </c>
      <c r="J14">
        <f t="shared" si="2"/>
        <v>92000.000000003391</v>
      </c>
      <c r="K14">
        <f t="shared" si="2"/>
        <v>92000.000000003391</v>
      </c>
      <c r="L14">
        <f t="shared" si="2"/>
        <v>92000.000000002605</v>
      </c>
      <c r="M14">
        <f t="shared" si="2"/>
        <v>92000.000000001819</v>
      </c>
      <c r="N14">
        <f t="shared" si="2"/>
        <v>92000.000000001426</v>
      </c>
      <c r="O14">
        <f t="shared" si="2"/>
        <v>92000.000000001426</v>
      </c>
      <c r="P14">
        <f t="shared" si="2"/>
        <v>92000.000000001033</v>
      </c>
      <c r="Q14">
        <f t="shared" si="2"/>
        <v>92000.000000000655</v>
      </c>
      <c r="R14">
        <f t="shared" si="2"/>
        <v>92000.000000000655</v>
      </c>
      <c r="S14">
        <f t="shared" si="2"/>
        <v>92000.000000000247</v>
      </c>
      <c r="T14">
        <f t="shared" si="2"/>
        <v>91999.999999999869</v>
      </c>
      <c r="U14">
        <f t="shared" si="2"/>
        <v>91999.999999999869</v>
      </c>
      <c r="V14">
        <f t="shared" si="2"/>
        <v>91999.999999999462</v>
      </c>
      <c r="W14">
        <f t="shared" si="2"/>
        <v>91999.999999999462</v>
      </c>
      <c r="X14">
        <f t="shared" si="2"/>
        <v>91999.999999999083</v>
      </c>
      <c r="Y14">
        <f t="shared" si="2"/>
        <v>91999.999999999083</v>
      </c>
      <c r="Z14">
        <f t="shared" si="2"/>
        <v>91999.999999998676</v>
      </c>
      <c r="AA14">
        <f t="shared" si="2"/>
        <v>91999.999999998297</v>
      </c>
      <c r="AB14">
        <f t="shared" si="2"/>
        <v>91999.999999998297</v>
      </c>
      <c r="AC14">
        <f t="shared" si="2"/>
        <v>91999.999999997905</v>
      </c>
      <c r="AD14">
        <f t="shared" si="2"/>
        <v>91999.999999997512</v>
      </c>
      <c r="AE14">
        <f t="shared" si="2"/>
        <v>91999.999999997512</v>
      </c>
      <c r="AF14">
        <f t="shared" si="2"/>
        <v>91999.99999999693</v>
      </c>
      <c r="AG14">
        <f t="shared" si="2"/>
        <v>91999.99999999693</v>
      </c>
      <c r="AH14">
        <f t="shared" si="2"/>
        <v>91999.999999996726</v>
      </c>
      <c r="AI14">
        <f t="shared" si="2"/>
        <v>91999.999999996726</v>
      </c>
    </row>
    <row r="15" spans="2:40" x14ac:dyDescent="0.35">
      <c r="B15" s="4" t="s">
        <v>11</v>
      </c>
      <c r="C15" s="4">
        <v>92000</v>
      </c>
      <c r="E15" s="2" t="s">
        <v>14</v>
      </c>
      <c r="F15">
        <f>C14</f>
        <v>13800</v>
      </c>
      <c r="G15">
        <f>-$C$15/(G11-F11)</f>
        <v>13799.999999999254</v>
      </c>
      <c r="H15">
        <f t="shared" ref="H15:AI15" si="3">-$C$15/(H11-G11)</f>
        <v>13799.999999999254</v>
      </c>
      <c r="I15">
        <f t="shared" si="3"/>
        <v>13799.999999999372</v>
      </c>
      <c r="J15">
        <f t="shared" si="3"/>
        <v>13799.999999999491</v>
      </c>
      <c r="K15">
        <f t="shared" si="3"/>
        <v>13799.999999999491</v>
      </c>
      <c r="L15">
        <f t="shared" si="3"/>
        <v>13799.999999999607</v>
      </c>
      <c r="M15">
        <f t="shared" si="3"/>
        <v>13799.999999999725</v>
      </c>
      <c r="N15">
        <f t="shared" si="3"/>
        <v>13799.999999999784</v>
      </c>
      <c r="O15">
        <f t="shared" si="3"/>
        <v>13799.999999999784</v>
      </c>
      <c r="P15">
        <f t="shared" si="3"/>
        <v>13799.999999999844</v>
      </c>
      <c r="Q15">
        <f t="shared" si="3"/>
        <v>13799.999999999902</v>
      </c>
      <c r="R15">
        <f t="shared" si="3"/>
        <v>13799.999999999902</v>
      </c>
      <c r="S15">
        <f t="shared" si="3"/>
        <v>13799.99999999996</v>
      </c>
      <c r="T15">
        <f t="shared" si="3"/>
        <v>13800.00000000002</v>
      </c>
      <c r="U15">
        <f t="shared" si="3"/>
        <v>13800.00000000002</v>
      </c>
      <c r="V15">
        <f t="shared" si="3"/>
        <v>13800.000000000078</v>
      </c>
      <c r="W15">
        <f t="shared" si="3"/>
        <v>13800.000000000078</v>
      </c>
      <c r="X15">
        <f t="shared" si="3"/>
        <v>13800.000000000136</v>
      </c>
      <c r="Y15">
        <f t="shared" si="3"/>
        <v>13800.000000000136</v>
      </c>
      <c r="Z15">
        <f t="shared" si="3"/>
        <v>13800.000000000196</v>
      </c>
      <c r="AA15">
        <f t="shared" si="3"/>
        <v>13800.000000000255</v>
      </c>
      <c r="AB15">
        <f t="shared" si="3"/>
        <v>13800.000000000255</v>
      </c>
      <c r="AC15">
        <f t="shared" si="3"/>
        <v>13800.000000000313</v>
      </c>
      <c r="AD15">
        <f t="shared" si="3"/>
        <v>13800.000000000373</v>
      </c>
      <c r="AE15">
        <f t="shared" si="3"/>
        <v>13800.000000000373</v>
      </c>
      <c r="AF15">
        <f t="shared" si="3"/>
        <v>13800.00000000046</v>
      </c>
      <c r="AG15">
        <f t="shared" si="3"/>
        <v>13800.00000000046</v>
      </c>
      <c r="AH15">
        <f t="shared" si="3"/>
        <v>13800.000000000491</v>
      </c>
      <c r="AI15">
        <f t="shared" si="3"/>
        <v>13800.000000000491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 1 род</vt:lpstr>
      <vt:lpstr> 2 род</vt:lpstr>
      <vt:lpstr> 3 род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Кузнецов Роман</dc:creator>
  <cp:lastModifiedBy>User</cp:lastModifiedBy>
  <dcterms:created xsi:type="dcterms:W3CDTF">2021-03-20T15:25:01Z</dcterms:created>
  <dcterms:modified xsi:type="dcterms:W3CDTF">2021-04-03T11:35:43Z</dcterms:modified>
</cp:coreProperties>
</file>