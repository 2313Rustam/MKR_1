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xr:revisionPtr revIDLastSave="0" documentId="13_ncr:1_{DDF12392-C57F-40FC-884C-7CF6FC732A40}" xr6:coauthVersionLast="43" xr6:coauthVersionMax="43" xr10:uidLastSave="{00000000-0000-0000-0000-000000000000}"/>
  <bookViews>
    <workbookView xWindow="-110" yWindow="-110" windowWidth="38620" windowHeight="21220" xr2:uid="{00000000-000D-0000-FFFF-FFFF00000000}"/>
  </bookViews>
  <sheets>
    <sheet name="Лист1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H15" i="1" l="1"/>
  <c r="I15" i="1"/>
  <c r="J15" i="1"/>
  <c r="K15" i="1"/>
  <c r="L15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Z15" i="1"/>
  <c r="AA15" i="1"/>
  <c r="AB15" i="1"/>
  <c r="AC15" i="1"/>
  <c r="AD15" i="1"/>
  <c r="AE15" i="1"/>
  <c r="AF15" i="1"/>
  <c r="AG15" i="1"/>
  <c r="AH15" i="1"/>
  <c r="AI15" i="1"/>
  <c r="G15" i="1"/>
  <c r="C5" i="1"/>
  <c r="H12" i="1"/>
  <c r="I12" i="1"/>
  <c r="J12" i="1"/>
  <c r="K12" i="1"/>
  <c r="L12" i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AJ12" i="1" s="1"/>
  <c r="G12" i="1"/>
  <c r="C4" i="1"/>
</calcChain>
</file>

<file path=xl/sharedStrings.xml><?xml version="1.0" encoding="utf-8"?>
<sst xmlns="http://schemas.openxmlformats.org/spreadsheetml/2006/main" count="12" uniqueCount="11">
  <si>
    <t>L</t>
  </si>
  <si>
    <t>dx</t>
  </si>
  <si>
    <t>dt</t>
  </si>
  <si>
    <t>t</t>
  </si>
  <si>
    <t>Cp</t>
  </si>
  <si>
    <t>r0</t>
  </si>
  <si>
    <t>λ</t>
  </si>
  <si>
    <t>T</t>
  </si>
  <si>
    <t>T_start</t>
  </si>
  <si>
    <t>T_Fin</t>
  </si>
  <si>
    <t>T_iter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</si>
</sst>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6" formatCode="0.000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1" xfId="0" applyBorder="1" applyAlignment="1">
      <alignment horizontal="center" vertical="center"/>
    </xf>
    <xf numFmtId="166" fontId="0" fillId="0" borderId="1" xfId="0" applyNumberFormat="1" applyBorder="1"/>
    <xf numFmtId="0" fontId="0" fillId="0" borderId="1" xfId="0" applyBorder="1"/>
    <xf numFmtId="0" fontId="0" fillId="0" borderId="1" xfId="0" applyBorder="1" applyAlignment="1">
      <alignment vertical="center"/>
    </xf>
    <xf numFmtId="166" fontId="0" fillId="0" borderId="1" xfId="0" applyNumberFormat="1" applyBorder="1" applyAlignment="1">
      <alignment vertical="center"/>
    </xf>
    <xf numFmtId="0" fontId="0" fillId="0" borderId="1" xfId="0" applyBorder="1" applyAlignment="1">
      <alignment horizontal="right"/>
    </xf>
    <xf numFmtId="0" fontId="1" fillId="0" borderId="1" xfId="0" applyFont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2998381768267149E-2"/>
          <c:y val="8.3457526080476907E-2"/>
          <c:w val="0.77568185460730743"/>
          <c:h val="0.84739711559900022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Лист1!$F$12:$AJ$12</c:f>
              <c:numCache>
                <c:formatCode>0.000</c:formatCode>
                <c:ptCount val="31"/>
                <c:pt idx="0" formatCode="General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Лист1!$F$13:$AJ$13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280.34602914679897</c:v>
                </c:pt>
                <c:pt idx="2">
                  <c:v>260.69205829359794</c:v>
                </c:pt>
                <c:pt idx="3">
                  <c:v>241.69187227593491</c:v>
                </c:pt>
                <c:pt idx="4">
                  <c:v>222.69168625827183</c:v>
                </c:pt>
                <c:pt idx="5">
                  <c:v>204.95390631913148</c:v>
                </c:pt>
                <c:pt idx="6">
                  <c:v>187.21612637999107</c:v>
                </c:pt>
                <c:pt idx="7">
                  <c:v>171.26453784334268</c:v>
                </c:pt>
                <c:pt idx="8">
                  <c:v>155.31294930669429</c:v>
                </c:pt>
                <c:pt idx="9">
                  <c:v>141.55671337374599</c:v>
                </c:pt>
                <c:pt idx="10">
                  <c:v>127.80047744079765</c:v>
                </c:pt>
                <c:pt idx="11">
                  <c:v>116.51671674932982</c:v>
                </c:pt>
                <c:pt idx="12">
                  <c:v>105.23295605786197</c:v>
                </c:pt>
                <c:pt idx="13">
                  <c:v>96.561989352755049</c:v>
                </c:pt>
                <c:pt idx="14">
                  <c:v>87.891022647648128</c:v>
                </c:pt>
                <c:pt idx="15">
                  <c:v>81.842538774051832</c:v>
                </c:pt>
                <c:pt idx="16">
                  <c:v>75.794054900455549</c:v>
                </c:pt>
                <c:pt idx="17">
                  <c:v>72.261187114604226</c:v>
                </c:pt>
                <c:pt idx="18">
                  <c:v>68.728319328752917</c:v>
                </c:pt>
                <c:pt idx="19">
                  <c:v>67.506108522455037</c:v>
                </c:pt>
                <c:pt idx="20">
                  <c:v>66.283897716157142</c:v>
                </c:pt>
                <c:pt idx="21">
                  <c:v>67.088962026000345</c:v>
                </c:pt>
                <c:pt idx="22">
                  <c:v>67.894026335843549</c:v>
                </c:pt>
                <c:pt idx="23">
                  <c:v>70.383127200086093</c:v>
                </c:pt>
                <c:pt idx="24">
                  <c:v>72.872228064328638</c:v>
                </c:pt>
                <c:pt idx="25">
                  <c:v>76.658491877071754</c:v>
                </c:pt>
                <c:pt idx="26">
                  <c:v>80.444755689814855</c:v>
                </c:pt>
                <c:pt idx="27">
                  <c:v>85.111263870845988</c:v>
                </c:pt>
                <c:pt idx="28">
                  <c:v>89.777772051877108</c:v>
                </c:pt>
                <c:pt idx="29">
                  <c:v>94.888886025938547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E58-414D-BAB9-B5EEC59643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3060271"/>
        <c:axId val="1320247503"/>
      </c:scatterChart>
      <c:valAx>
        <c:axId val="1423060271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20247503"/>
        <c:crosses val="autoZero"/>
        <c:crossBetween val="midCat"/>
      </c:valAx>
      <c:valAx>
        <c:axId val="1320247503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23060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231774</xdr:colOff>
      <xdr:row>22</xdr:row>
      <xdr:rowOff>152400</xdr:rowOff>
    </xdr:from>
    <xdr:to>
      <xdr:col>21</xdr:col>
      <xdr:colOff>190499</xdr:colOff>
      <xdr:row>45</xdr:row>
      <xdr:rowOff>177800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435834C6-D218-475F-9665-CD3C895C599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13</xdr:col>
      <xdr:colOff>352425</xdr:colOff>
      <xdr:row>23</xdr:row>
      <xdr:rowOff>19050</xdr:rowOff>
    </xdr:from>
    <xdr:ext cx="311111" cy="172227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65849B9F-0812-4BC4-B0AC-BBF35000C002}"/>
                </a:ext>
              </a:extLst>
            </xdr:cNvPr>
            <xdr:cNvSpPr txBox="1"/>
          </xdr:nvSpPr>
          <xdr:spPr>
            <a:xfrm>
              <a:off x="8277225" y="4254500"/>
              <a:ext cx="31111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 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𝐶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𝑜</m:t>
                        </m:r>
                      </m:sup>
                    </m:sSup>
                  </m:oMath>
                </m:oMathPara>
              </a14:m>
              <a:endParaRPr lang="ru-RU" sz="1100"/>
            </a:p>
          </xdr:txBody>
        </xdr:sp>
      </mc:Choice>
      <mc:Fallback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65849B9F-0812-4BC4-B0AC-BBF35000C002}"/>
                </a:ext>
              </a:extLst>
            </xdr:cNvPr>
            <xdr:cNvSpPr txBox="1"/>
          </xdr:nvSpPr>
          <xdr:spPr>
            <a:xfrm>
              <a:off x="8277225" y="4254500"/>
              <a:ext cx="31111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𝑇 𝐶^𝑜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20</xdr:col>
      <xdr:colOff>371475</xdr:colOff>
      <xdr:row>44</xdr:row>
      <xdr:rowOff>101600</xdr:rowOff>
    </xdr:from>
    <xdr:ext cx="378565" cy="172227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B90EE232-9513-410F-AE2C-C907F5E92E3A}"/>
                </a:ext>
              </a:extLst>
            </xdr:cNvPr>
            <xdr:cNvSpPr txBox="1"/>
          </xdr:nvSpPr>
          <xdr:spPr>
            <a:xfrm>
              <a:off x="12563475" y="8204200"/>
              <a:ext cx="37856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𝐿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 (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𝑚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ru-RU" sz="1100"/>
            </a:p>
          </xdr:txBody>
        </xdr:sp>
      </mc:Choice>
      <mc:Fallback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B90EE232-9513-410F-AE2C-C907F5E92E3A}"/>
                </a:ext>
              </a:extLst>
            </xdr:cNvPr>
            <xdr:cNvSpPr txBox="1"/>
          </xdr:nvSpPr>
          <xdr:spPr>
            <a:xfrm>
              <a:off x="12563475" y="8204200"/>
              <a:ext cx="37856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𝐿 (𝑚)</a:t>
              </a:r>
              <a:endParaRPr lang="ru-RU" sz="110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B3:AJ15"/>
  <sheetViews>
    <sheetView tabSelected="1" topLeftCell="D1" workbookViewId="0">
      <selection activeCell="G13" sqref="G13:AI13"/>
    </sheetView>
  </sheetViews>
  <sheetFormatPr defaultRowHeight="14.5" x14ac:dyDescent="0.35"/>
  <sheetData>
    <row r="3" spans="2:36" x14ac:dyDescent="0.35">
      <c r="B3" s="3" t="s">
        <v>0</v>
      </c>
      <c r="C3" s="6">
        <v>0.1</v>
      </c>
    </row>
    <row r="4" spans="2:36" x14ac:dyDescent="0.35">
      <c r="B4" s="3" t="s">
        <v>1</v>
      </c>
      <c r="C4" s="2">
        <f>C3/30</f>
        <v>3.3333333333333335E-3</v>
      </c>
    </row>
    <row r="5" spans="2:36" x14ac:dyDescent="0.35">
      <c r="B5" s="3" t="s">
        <v>2</v>
      </c>
      <c r="C5" s="2">
        <f>(C9*C8*C4^2)/(2*C10)</f>
        <v>0.4333333333333334</v>
      </c>
    </row>
    <row r="6" spans="2:36" x14ac:dyDescent="0.35">
      <c r="B6" s="3" t="s">
        <v>3</v>
      </c>
      <c r="C6" s="3">
        <v>60</v>
      </c>
      <c r="D6">
        <v>60.233333333333341</v>
      </c>
    </row>
    <row r="8" spans="2:36" x14ac:dyDescent="0.35">
      <c r="B8" s="3" t="s">
        <v>4</v>
      </c>
      <c r="C8" s="3">
        <v>460</v>
      </c>
    </row>
    <row r="9" spans="2:36" x14ac:dyDescent="0.35">
      <c r="B9" s="3" t="s">
        <v>5</v>
      </c>
      <c r="C9" s="3">
        <v>7800</v>
      </c>
    </row>
    <row r="10" spans="2:36" x14ac:dyDescent="0.35">
      <c r="B10" s="7" t="s">
        <v>6</v>
      </c>
      <c r="C10" s="3">
        <v>46</v>
      </c>
    </row>
    <row r="11" spans="2:36" x14ac:dyDescent="0.35">
      <c r="F11" s="1">
        <v>1</v>
      </c>
      <c r="G11" s="1">
        <v>2</v>
      </c>
      <c r="H11" s="1">
        <v>3</v>
      </c>
      <c r="I11" s="1">
        <v>4</v>
      </c>
      <c r="J11" s="1">
        <v>5</v>
      </c>
      <c r="K11" s="1">
        <v>6</v>
      </c>
      <c r="L11" s="1">
        <v>7</v>
      </c>
      <c r="M11" s="1">
        <v>8</v>
      </c>
      <c r="N11" s="1">
        <v>9</v>
      </c>
      <c r="O11" s="1">
        <v>10</v>
      </c>
      <c r="P11" s="1">
        <v>11</v>
      </c>
      <c r="Q11" s="1">
        <v>12</v>
      </c>
      <c r="R11" s="1">
        <v>13</v>
      </c>
      <c r="S11" s="1">
        <v>14</v>
      </c>
      <c r="T11" s="1">
        <v>15</v>
      </c>
      <c r="U11" s="1">
        <v>16</v>
      </c>
      <c r="V11" s="1">
        <v>17</v>
      </c>
      <c r="W11" s="1">
        <v>18</v>
      </c>
      <c r="X11" s="1">
        <v>19</v>
      </c>
      <c r="Y11" s="1">
        <v>20</v>
      </c>
      <c r="Z11" s="1">
        <v>21</v>
      </c>
      <c r="AA11" s="1">
        <v>22</v>
      </c>
      <c r="AB11" s="1">
        <v>23</v>
      </c>
      <c r="AC11" s="1">
        <v>24</v>
      </c>
      <c r="AD11" s="1">
        <v>25</v>
      </c>
      <c r="AE11" s="1">
        <v>26</v>
      </c>
      <c r="AF11" s="1">
        <v>27</v>
      </c>
      <c r="AG11" s="1">
        <v>28</v>
      </c>
      <c r="AH11" s="1">
        <v>29</v>
      </c>
      <c r="AI11" s="1">
        <v>30</v>
      </c>
      <c r="AJ11" s="1">
        <v>31</v>
      </c>
    </row>
    <row r="12" spans="2:36" x14ac:dyDescent="0.35">
      <c r="B12" s="3" t="s">
        <v>8</v>
      </c>
      <c r="C12" s="3">
        <v>300</v>
      </c>
      <c r="E12" t="s">
        <v>0</v>
      </c>
      <c r="F12" s="4">
        <v>0</v>
      </c>
      <c r="G12" s="5">
        <f>F12+$C$4</f>
        <v>3.3333333333333335E-3</v>
      </c>
      <c r="H12" s="5">
        <f t="shared" ref="H12:AJ12" si="0">G12+$C$4</f>
        <v>6.6666666666666671E-3</v>
      </c>
      <c r="I12" s="5">
        <f t="shared" si="0"/>
        <v>0.01</v>
      </c>
      <c r="J12" s="5">
        <f t="shared" si="0"/>
        <v>1.3333333333333334E-2</v>
      </c>
      <c r="K12" s="5">
        <f t="shared" si="0"/>
        <v>1.6666666666666666E-2</v>
      </c>
      <c r="L12" s="5">
        <f t="shared" si="0"/>
        <v>0.02</v>
      </c>
      <c r="M12" s="5">
        <f t="shared" si="0"/>
        <v>2.3333333333333334E-2</v>
      </c>
      <c r="N12" s="5">
        <f t="shared" si="0"/>
        <v>2.6666666666666668E-2</v>
      </c>
      <c r="O12" s="5">
        <f t="shared" si="0"/>
        <v>3.0000000000000002E-2</v>
      </c>
      <c r="P12" s="5">
        <f t="shared" si="0"/>
        <v>3.3333333333333333E-2</v>
      </c>
      <c r="Q12" s="5">
        <f t="shared" si="0"/>
        <v>3.6666666666666667E-2</v>
      </c>
      <c r="R12" s="5">
        <f t="shared" si="0"/>
        <v>0.04</v>
      </c>
      <c r="S12" s="5">
        <f t="shared" si="0"/>
        <v>4.3333333333333335E-2</v>
      </c>
      <c r="T12" s="5">
        <f t="shared" si="0"/>
        <v>4.6666666666666669E-2</v>
      </c>
      <c r="U12" s="5">
        <f t="shared" si="0"/>
        <v>0.05</v>
      </c>
      <c r="V12" s="5">
        <f t="shared" si="0"/>
        <v>5.3333333333333337E-2</v>
      </c>
      <c r="W12" s="5">
        <f t="shared" si="0"/>
        <v>5.6666666666666671E-2</v>
      </c>
      <c r="X12" s="5">
        <f t="shared" si="0"/>
        <v>6.0000000000000005E-2</v>
      </c>
      <c r="Y12" s="5">
        <f t="shared" si="0"/>
        <v>6.3333333333333339E-2</v>
      </c>
      <c r="Z12" s="5">
        <f t="shared" si="0"/>
        <v>6.6666666666666666E-2</v>
      </c>
      <c r="AA12" s="5">
        <f t="shared" si="0"/>
        <v>6.9999999999999993E-2</v>
      </c>
      <c r="AB12" s="5">
        <f t="shared" si="0"/>
        <v>7.333333333333332E-2</v>
      </c>
      <c r="AC12" s="5">
        <f t="shared" si="0"/>
        <v>7.6666666666666647E-2</v>
      </c>
      <c r="AD12" s="5">
        <f t="shared" si="0"/>
        <v>7.9999999999999974E-2</v>
      </c>
      <c r="AE12" s="5">
        <f t="shared" si="0"/>
        <v>8.3333333333333301E-2</v>
      </c>
      <c r="AF12" s="5">
        <f t="shared" si="0"/>
        <v>8.6666666666666628E-2</v>
      </c>
      <c r="AG12" s="5">
        <f t="shared" si="0"/>
        <v>8.9999999999999955E-2</v>
      </c>
      <c r="AH12" s="5">
        <f t="shared" si="0"/>
        <v>9.3333333333333282E-2</v>
      </c>
      <c r="AI12" s="5">
        <f t="shared" si="0"/>
        <v>9.6666666666666609E-2</v>
      </c>
      <c r="AJ12" s="5">
        <f t="shared" si="0"/>
        <v>9.9999999999999936E-2</v>
      </c>
    </row>
    <row r="13" spans="2:36" x14ac:dyDescent="0.35">
      <c r="B13" s="3" t="s">
        <v>9</v>
      </c>
      <c r="C13" s="3">
        <v>100</v>
      </c>
      <c r="E13" t="s">
        <v>7</v>
      </c>
      <c r="F13" s="4">
        <v>300</v>
      </c>
      <c r="G13" s="4">
        <v>280.34602914679897</v>
      </c>
      <c r="H13" s="4">
        <v>260.69205829359794</v>
      </c>
      <c r="I13" s="4">
        <v>241.69187227593491</v>
      </c>
      <c r="J13" s="4">
        <v>222.69168625827183</v>
      </c>
      <c r="K13" s="4">
        <v>204.95390631913148</v>
      </c>
      <c r="L13" s="4">
        <v>187.21612637999107</v>
      </c>
      <c r="M13" s="4">
        <v>171.26453784334268</v>
      </c>
      <c r="N13" s="4">
        <v>155.31294930669429</v>
      </c>
      <c r="O13" s="4">
        <v>141.55671337374599</v>
      </c>
      <c r="P13" s="4">
        <v>127.80047744079765</v>
      </c>
      <c r="Q13" s="4">
        <v>116.51671674932982</v>
      </c>
      <c r="R13" s="4">
        <v>105.23295605786197</v>
      </c>
      <c r="S13" s="4">
        <v>96.561989352755049</v>
      </c>
      <c r="T13" s="4">
        <v>87.891022647648128</v>
      </c>
      <c r="U13" s="4">
        <v>81.842538774051832</v>
      </c>
      <c r="V13" s="4">
        <v>75.794054900455549</v>
      </c>
      <c r="W13" s="4">
        <v>72.261187114604226</v>
      </c>
      <c r="X13" s="4">
        <v>68.728319328752917</v>
      </c>
      <c r="Y13" s="4">
        <v>67.506108522455037</v>
      </c>
      <c r="Z13" s="4">
        <v>66.283897716157142</v>
      </c>
      <c r="AA13" s="4">
        <v>67.088962026000345</v>
      </c>
      <c r="AB13" s="4">
        <v>67.894026335843549</v>
      </c>
      <c r="AC13" s="4">
        <v>70.383127200086093</v>
      </c>
      <c r="AD13" s="4">
        <v>72.872228064328638</v>
      </c>
      <c r="AE13" s="4">
        <v>76.658491877071754</v>
      </c>
      <c r="AF13" s="4">
        <v>80.444755689814855</v>
      </c>
      <c r="AG13" s="4">
        <v>85.111263870845988</v>
      </c>
      <c r="AH13" s="4">
        <v>89.777772051877108</v>
      </c>
      <c r="AI13" s="4">
        <v>94.888886025938547</v>
      </c>
      <c r="AJ13" s="4">
        <v>100</v>
      </c>
    </row>
    <row r="15" spans="2:36" x14ac:dyDescent="0.35">
      <c r="E15" t="s">
        <v>10</v>
      </c>
      <c r="G15">
        <f>G13+($C$10*$C$5)/($C$9*$C$8)*((H13-2*G13+F13)/($C$4^2))</f>
        <v>280.34602914679897</v>
      </c>
      <c r="H15">
        <f t="shared" ref="H15:AI15" si="1">H13+($C$10*$C$5)/($C$9*$C$8)*((I13-2*H13+G13)/($C$4^2))</f>
        <v>261.01895071136693</v>
      </c>
      <c r="I15">
        <f t="shared" si="1"/>
        <v>241.69187227593488</v>
      </c>
      <c r="J15">
        <f t="shared" si="1"/>
        <v>223.32288929753321</v>
      </c>
      <c r="K15">
        <f t="shared" si="1"/>
        <v>204.95390631913145</v>
      </c>
      <c r="L15">
        <f t="shared" si="1"/>
        <v>188.10922208123708</v>
      </c>
      <c r="M15">
        <f t="shared" si="1"/>
        <v>171.26453784334268</v>
      </c>
      <c r="N15">
        <f t="shared" si="1"/>
        <v>156.41062560854434</v>
      </c>
      <c r="O15">
        <f t="shared" si="1"/>
        <v>141.55671337374596</v>
      </c>
      <c r="P15">
        <f t="shared" si="1"/>
        <v>129.0367150615379</v>
      </c>
      <c r="Q15">
        <f t="shared" si="1"/>
        <v>116.51671674932982</v>
      </c>
      <c r="R15">
        <f t="shared" si="1"/>
        <v>106.53935305104244</v>
      </c>
      <c r="S15">
        <f t="shared" si="1"/>
        <v>96.561989352755049</v>
      </c>
      <c r="T15">
        <f t="shared" si="1"/>
        <v>89.202264063403447</v>
      </c>
      <c r="U15">
        <f t="shared" si="1"/>
        <v>81.842538774051832</v>
      </c>
      <c r="V15">
        <f t="shared" si="1"/>
        <v>77.051862944328036</v>
      </c>
      <c r="W15">
        <f t="shared" si="1"/>
        <v>72.26118711460424</v>
      </c>
      <c r="X15">
        <f t="shared" si="1"/>
        <v>69.883647818529624</v>
      </c>
      <c r="Y15">
        <f t="shared" si="1"/>
        <v>67.506108522455037</v>
      </c>
      <c r="Z15">
        <f t="shared" si="1"/>
        <v>67.297535274227698</v>
      </c>
      <c r="AA15">
        <f t="shared" si="1"/>
        <v>67.088962026000345</v>
      </c>
      <c r="AB15">
        <f t="shared" si="1"/>
        <v>68.736044613043219</v>
      </c>
      <c r="AC15">
        <f t="shared" si="1"/>
        <v>70.383127200086093</v>
      </c>
      <c r="AD15">
        <f t="shared" si="1"/>
        <v>73.520809538578931</v>
      </c>
      <c r="AE15">
        <f t="shared" si="1"/>
        <v>76.658491877071754</v>
      </c>
      <c r="AF15">
        <f t="shared" si="1"/>
        <v>80.884877873958871</v>
      </c>
      <c r="AG15">
        <f t="shared" si="1"/>
        <v>85.111263870845988</v>
      </c>
      <c r="AH15">
        <f t="shared" si="1"/>
        <v>90.000074948392268</v>
      </c>
      <c r="AI15">
        <f t="shared" si="1"/>
        <v>94.888886025938547</v>
      </c>
    </row>
  </sheetData>
  <conditionalFormatting sqref="G13:AJ13">
    <cfRule type="colorScale" priority="2">
      <colorScale>
        <cfvo type="min"/>
        <cfvo type="percentile" val="50"/>
        <cfvo type="max"/>
        <color rgb="FF00B0F0"/>
        <color rgb="FFFFFF00"/>
        <color rgb="FFFF0000"/>
      </colorScale>
    </cfRule>
  </conditionalFormatting>
  <conditionalFormatting sqref="F13:AJ13">
    <cfRule type="colorScale" priority="1">
      <colorScale>
        <cfvo type="min"/>
        <cfvo type="percentile" val="50"/>
        <cfvo type="max"/>
        <color rgb="FF00B0F0"/>
        <color rgb="FFFFFF00"/>
        <color rgb="FFFF0000"/>
      </colorScale>
    </cfRule>
  </conditionalFormatting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2015-06-05T18:19:34Z</dcterms:created>
  <dcterms:modified xsi:type="dcterms:W3CDTF">2021-02-28T17:40:58Z</dcterms:modified>
</cp:coreProperties>
</file>